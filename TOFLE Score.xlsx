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hphphp\OwlEnglishSchoolHP\"/>
    </mc:Choice>
  </mc:AlternateContent>
  <xr:revisionPtr revIDLastSave="0" documentId="13_ncr:1_{F399139D-9685-4F9D-B357-DFC903C6AADF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E17" i="1"/>
  <c r="E19" i="1" s="1"/>
  <c r="F17" i="1"/>
  <c r="F19" i="1" s="1"/>
  <c r="C17" i="1"/>
  <c r="G9" i="1"/>
  <c r="G10" i="1"/>
  <c r="G11" i="1"/>
  <c r="G12" i="1"/>
  <c r="G13" i="1"/>
  <c r="G14" i="1"/>
  <c r="G15" i="1"/>
  <c r="G16" i="1"/>
  <c r="G18" i="1"/>
  <c r="G4" i="1"/>
  <c r="G5" i="1"/>
  <c r="G6" i="1"/>
  <c r="G7" i="1"/>
  <c r="G8" i="1"/>
  <c r="G3" i="1"/>
  <c r="G19" i="1" l="1"/>
  <c r="G17" i="1"/>
</calcChain>
</file>

<file path=xl/sharedStrings.xml><?xml version="1.0" encoding="utf-8"?>
<sst xmlns="http://schemas.openxmlformats.org/spreadsheetml/2006/main" count="10" uniqueCount="10">
  <si>
    <t>DATE</t>
    <phoneticPr fontId="1"/>
  </si>
  <si>
    <t>R</t>
    <phoneticPr fontId="1"/>
  </si>
  <si>
    <t>L</t>
    <phoneticPr fontId="1"/>
  </si>
  <si>
    <t>S</t>
    <phoneticPr fontId="1"/>
  </si>
  <si>
    <t>W</t>
    <phoneticPr fontId="1"/>
  </si>
  <si>
    <t>合計</t>
    <rPh sb="0" eb="2">
      <t>ゴウケイ</t>
    </rPh>
    <phoneticPr fontId="1"/>
  </si>
  <si>
    <t>MyBest</t>
    <phoneticPr fontId="1"/>
  </si>
  <si>
    <t>目標</t>
    <rPh sb="0" eb="2">
      <t>モクヒョウ</t>
    </rPh>
    <phoneticPr fontId="1"/>
  </si>
  <si>
    <t>不足</t>
    <rPh sb="0" eb="2">
      <t>フソク</t>
    </rPh>
    <phoneticPr fontId="1"/>
  </si>
  <si>
    <t>My Best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</si>
</sst>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トロント　</a:t>
            </a:r>
            <a:r>
              <a:rPr lang="en-US" altLang="ja-JP"/>
              <a:t>Tortal93(S24)</a:t>
            </a:r>
            <a:r>
              <a:rPr lang="ja-JP" altLang="en-US"/>
              <a:t>　への道のり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225372197757025E-2"/>
          <c:y val="0.13305127017206284"/>
          <c:w val="0.88197998720320492"/>
          <c:h val="0.66679726712205412"/>
        </c:manualLayout>
      </c:layout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Sheet1!$B$3:$B$12</c:f>
              <c:numCache>
                <c:formatCode>m/d/yyyy</c:formatCode>
                <c:ptCount val="10"/>
                <c:pt idx="0">
                  <c:v>45605</c:v>
                </c:pt>
                <c:pt idx="1">
                  <c:v>45738</c:v>
                </c:pt>
                <c:pt idx="2">
                  <c:v>45808</c:v>
                </c:pt>
                <c:pt idx="3">
                  <c:v>45857</c:v>
                </c:pt>
                <c:pt idx="4">
                  <c:v>45878</c:v>
                </c:pt>
                <c:pt idx="5">
                  <c:v>45941</c:v>
                </c:pt>
                <c:pt idx="6">
                  <c:v>45976</c:v>
                </c:pt>
                <c:pt idx="7">
                  <c:v>45983</c:v>
                </c:pt>
                <c:pt idx="8">
                  <c:v>46004</c:v>
                </c:pt>
                <c:pt idx="9">
                  <c:v>46011</c:v>
                </c:pt>
              </c:numCache>
            </c:num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21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18</c:v>
                </c:pt>
                <c:pt idx="6">
                  <c:v>16</c:v>
                </c:pt>
                <c:pt idx="7">
                  <c:v>16</c:v>
                </c:pt>
                <c:pt idx="8">
                  <c:v>21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8-444A-9085-1F28A180DFE0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Sheet1!$B$3:$B$12</c:f>
              <c:numCache>
                <c:formatCode>m/d/yyyy</c:formatCode>
                <c:ptCount val="10"/>
                <c:pt idx="0">
                  <c:v>45605</c:v>
                </c:pt>
                <c:pt idx="1">
                  <c:v>45738</c:v>
                </c:pt>
                <c:pt idx="2">
                  <c:v>45808</c:v>
                </c:pt>
                <c:pt idx="3">
                  <c:v>45857</c:v>
                </c:pt>
                <c:pt idx="4">
                  <c:v>45878</c:v>
                </c:pt>
                <c:pt idx="5">
                  <c:v>45941</c:v>
                </c:pt>
                <c:pt idx="6">
                  <c:v>45976</c:v>
                </c:pt>
                <c:pt idx="7">
                  <c:v>45983</c:v>
                </c:pt>
                <c:pt idx="8">
                  <c:v>46004</c:v>
                </c:pt>
                <c:pt idx="9">
                  <c:v>46011</c:v>
                </c:pt>
              </c:numCache>
            </c:num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17</c:v>
                </c:pt>
                <c:pt idx="1">
                  <c:v>13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16</c:v>
                </c:pt>
                <c:pt idx="8">
                  <c:v>19</c:v>
                </c:pt>
                <c:pt idx="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8-444A-9085-1F28A180DFE0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Sheet1!$B$3:$B$12</c:f>
              <c:numCache>
                <c:formatCode>m/d/yyyy</c:formatCode>
                <c:ptCount val="10"/>
                <c:pt idx="0">
                  <c:v>45605</c:v>
                </c:pt>
                <c:pt idx="1">
                  <c:v>45738</c:v>
                </c:pt>
                <c:pt idx="2">
                  <c:v>45808</c:v>
                </c:pt>
                <c:pt idx="3">
                  <c:v>45857</c:v>
                </c:pt>
                <c:pt idx="4">
                  <c:v>45878</c:v>
                </c:pt>
                <c:pt idx="5">
                  <c:v>45941</c:v>
                </c:pt>
                <c:pt idx="6">
                  <c:v>45976</c:v>
                </c:pt>
                <c:pt idx="7">
                  <c:v>45983</c:v>
                </c:pt>
                <c:pt idx="8">
                  <c:v>46004</c:v>
                </c:pt>
                <c:pt idx="9">
                  <c:v>46011</c:v>
                </c:pt>
              </c:numCache>
            </c:num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17</c:v>
                </c:pt>
                <c:pt idx="1">
                  <c:v>17</c:v>
                </c:pt>
                <c:pt idx="2">
                  <c:v>19</c:v>
                </c:pt>
                <c:pt idx="3">
                  <c:v>20</c:v>
                </c:pt>
                <c:pt idx="4">
                  <c:v>19</c:v>
                </c:pt>
                <c:pt idx="5">
                  <c:v>17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D8-444A-9085-1F28A180DFE0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Sheet1!$B$3:$B$12</c:f>
              <c:numCache>
                <c:formatCode>m/d/yyyy</c:formatCode>
                <c:ptCount val="10"/>
                <c:pt idx="0">
                  <c:v>45605</c:v>
                </c:pt>
                <c:pt idx="1">
                  <c:v>45738</c:v>
                </c:pt>
                <c:pt idx="2">
                  <c:v>45808</c:v>
                </c:pt>
                <c:pt idx="3">
                  <c:v>45857</c:v>
                </c:pt>
                <c:pt idx="4">
                  <c:v>45878</c:v>
                </c:pt>
                <c:pt idx="5">
                  <c:v>45941</c:v>
                </c:pt>
                <c:pt idx="6">
                  <c:v>45976</c:v>
                </c:pt>
                <c:pt idx="7">
                  <c:v>45983</c:v>
                </c:pt>
                <c:pt idx="8">
                  <c:v>46004</c:v>
                </c:pt>
                <c:pt idx="9">
                  <c:v>46011</c:v>
                </c:pt>
              </c:numCache>
            </c:num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17</c:v>
                </c:pt>
                <c:pt idx="3">
                  <c:v>15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24</c:v>
                </c:pt>
                <c:pt idx="8">
                  <c:v>21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D8-444A-9085-1F28A180D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464672"/>
        <c:axId val="352464312"/>
      </c:lineChart>
      <c:lineChart>
        <c:grouping val="standard"/>
        <c:varyColors val="0"/>
        <c:ser>
          <c:idx val="4"/>
          <c:order val="4"/>
          <c:tx>
            <c:strRef>
              <c:f>Sheet1!$H$2</c:f>
              <c:strCache>
                <c:ptCount val="1"/>
                <c:pt idx="0">
                  <c:v>MyBest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>
                    <a:alpha val="98000"/>
                  </a:srgbClr>
                </a:solidFill>
              </a:ln>
              <a:effectLst/>
            </c:spPr>
          </c:marker>
          <c:cat>
            <c:numRef>
              <c:f>Sheet1!$B$3:$B$12</c:f>
              <c:numCache>
                <c:formatCode>m/d/yyyy</c:formatCode>
                <c:ptCount val="10"/>
                <c:pt idx="0">
                  <c:v>45605</c:v>
                </c:pt>
                <c:pt idx="1">
                  <c:v>45738</c:v>
                </c:pt>
                <c:pt idx="2">
                  <c:v>45808</c:v>
                </c:pt>
                <c:pt idx="3">
                  <c:v>45857</c:v>
                </c:pt>
                <c:pt idx="4">
                  <c:v>45878</c:v>
                </c:pt>
                <c:pt idx="5">
                  <c:v>45941</c:v>
                </c:pt>
                <c:pt idx="6">
                  <c:v>45976</c:v>
                </c:pt>
                <c:pt idx="7">
                  <c:v>45983</c:v>
                </c:pt>
                <c:pt idx="8">
                  <c:v>46004</c:v>
                </c:pt>
                <c:pt idx="9">
                  <c:v>46011</c:v>
                </c:pt>
              </c:numCache>
            </c:numRef>
          </c:cat>
          <c:val>
            <c:numRef>
              <c:f>Sheet1!$H$3:$H$12</c:f>
              <c:numCache>
                <c:formatCode>General</c:formatCode>
                <c:ptCount val="10"/>
                <c:pt idx="0">
                  <c:v>70</c:v>
                </c:pt>
                <c:pt idx="1">
                  <c:v>70</c:v>
                </c:pt>
                <c:pt idx="2">
                  <c:v>74</c:v>
                </c:pt>
                <c:pt idx="3">
                  <c:v>76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86</c:v>
                </c:pt>
                <c:pt idx="8">
                  <c:v>89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0-4B55-B508-407C523A5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773424"/>
        <c:axId val="908766224"/>
      </c:lineChart>
      <c:dateAx>
        <c:axId val="352464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2464312"/>
        <c:crosses val="autoZero"/>
        <c:auto val="1"/>
        <c:lblOffset val="100"/>
        <c:baseTimeUnit val="days"/>
      </c:dateAx>
      <c:valAx>
        <c:axId val="352464312"/>
        <c:scaling>
          <c:orientation val="minMax"/>
          <c:max val="3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2464672"/>
        <c:crosses val="autoZero"/>
        <c:crossBetween val="between"/>
        <c:majorUnit val="1"/>
      </c:valAx>
      <c:valAx>
        <c:axId val="908766224"/>
        <c:scaling>
          <c:orientation val="minMax"/>
          <c:max val="100"/>
          <c:min val="3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08773424"/>
        <c:crosses val="max"/>
        <c:crossBetween val="between"/>
        <c:majorUnit val="5"/>
      </c:valAx>
      <c:dateAx>
        <c:axId val="9087734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0876622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44135</xdr:colOff>
      <xdr:row>1</xdr:row>
      <xdr:rowOff>8355</xdr:rowOff>
    </xdr:from>
    <xdr:to>
      <xdr:col>22</xdr:col>
      <xdr:colOff>100263</xdr:colOff>
      <xdr:row>20</xdr:row>
      <xdr:rowOff>58486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790E25-8A11-DDD4-1F16-2F41C43CB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tabSelected="1" topLeftCell="G7" zoomScale="76" workbookViewId="0">
      <selection activeCell="E12" sqref="E12"/>
    </sheetView>
  </sheetViews>
  <sheetFormatPr defaultRowHeight="18"/>
  <cols>
    <col min="2" max="2" width="13.75" customWidth="1"/>
  </cols>
  <sheetData>
    <row r="2" spans="2:8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>
      <c r="B3" s="1">
        <v>45605</v>
      </c>
      <c r="C3" s="4">
        <v>21</v>
      </c>
      <c r="D3">
        <v>17</v>
      </c>
      <c r="E3">
        <v>17</v>
      </c>
      <c r="F3">
        <v>15</v>
      </c>
      <c r="G3">
        <f>SUM(C3:F3)</f>
        <v>70</v>
      </c>
      <c r="H3">
        <v>70</v>
      </c>
    </row>
    <row r="4" spans="2:8">
      <c r="B4" s="1">
        <v>45738</v>
      </c>
      <c r="C4">
        <v>20</v>
      </c>
      <c r="D4">
        <v>13</v>
      </c>
      <c r="E4">
        <v>17</v>
      </c>
      <c r="F4">
        <v>15</v>
      </c>
      <c r="G4">
        <f t="shared" ref="G4:G19" si="0">SUM(C4:F4)</f>
        <v>65</v>
      </c>
      <c r="H4">
        <v>70</v>
      </c>
    </row>
    <row r="5" spans="2:8">
      <c r="B5" s="1">
        <v>45808</v>
      </c>
      <c r="C5">
        <v>15</v>
      </c>
      <c r="D5">
        <v>17</v>
      </c>
      <c r="E5">
        <v>19</v>
      </c>
      <c r="F5">
        <v>17</v>
      </c>
      <c r="G5">
        <f t="shared" si="0"/>
        <v>68</v>
      </c>
      <c r="H5">
        <v>74</v>
      </c>
    </row>
    <row r="6" spans="2:8">
      <c r="B6" s="1">
        <v>45857</v>
      </c>
      <c r="C6">
        <v>15</v>
      </c>
      <c r="D6">
        <v>18</v>
      </c>
      <c r="E6">
        <v>20</v>
      </c>
      <c r="F6">
        <v>15</v>
      </c>
      <c r="G6">
        <f t="shared" si="0"/>
        <v>68</v>
      </c>
      <c r="H6">
        <v>76</v>
      </c>
    </row>
    <row r="7" spans="2:8">
      <c r="B7" s="1">
        <v>45878</v>
      </c>
      <c r="C7">
        <v>20</v>
      </c>
      <c r="D7">
        <v>19</v>
      </c>
      <c r="E7">
        <v>19</v>
      </c>
      <c r="F7">
        <v>19</v>
      </c>
      <c r="G7">
        <f t="shared" si="0"/>
        <v>77</v>
      </c>
      <c r="H7">
        <v>79</v>
      </c>
    </row>
    <row r="8" spans="2:8">
      <c r="B8" s="1">
        <v>45941</v>
      </c>
      <c r="C8">
        <v>18</v>
      </c>
      <c r="D8">
        <v>20</v>
      </c>
      <c r="E8">
        <v>17</v>
      </c>
      <c r="F8">
        <v>19</v>
      </c>
      <c r="G8">
        <f t="shared" si="0"/>
        <v>74</v>
      </c>
      <c r="H8">
        <v>80</v>
      </c>
    </row>
    <row r="9" spans="2:8">
      <c r="B9" s="1">
        <v>45976</v>
      </c>
      <c r="C9">
        <v>16</v>
      </c>
      <c r="D9">
        <v>21</v>
      </c>
      <c r="E9">
        <v>20</v>
      </c>
      <c r="F9">
        <v>18</v>
      </c>
      <c r="G9">
        <f t="shared" si="0"/>
        <v>75</v>
      </c>
      <c r="H9">
        <v>81</v>
      </c>
    </row>
    <row r="10" spans="2:8">
      <c r="B10" s="1">
        <v>45983</v>
      </c>
      <c r="C10">
        <v>16</v>
      </c>
      <c r="D10">
        <v>16</v>
      </c>
      <c r="E10">
        <v>20</v>
      </c>
      <c r="F10">
        <v>24</v>
      </c>
      <c r="G10">
        <f t="shared" si="0"/>
        <v>76</v>
      </c>
      <c r="H10">
        <v>86</v>
      </c>
    </row>
    <row r="11" spans="2:8">
      <c r="B11" s="1">
        <v>46004</v>
      </c>
      <c r="C11">
        <v>21</v>
      </c>
      <c r="D11">
        <v>19</v>
      </c>
      <c r="E11">
        <v>21</v>
      </c>
      <c r="F11">
        <v>21</v>
      </c>
      <c r="G11">
        <f t="shared" si="0"/>
        <v>82</v>
      </c>
      <c r="H11">
        <v>89</v>
      </c>
    </row>
    <row r="12" spans="2:8">
      <c r="B12" s="1">
        <v>46011</v>
      </c>
      <c r="C12">
        <v>24</v>
      </c>
      <c r="D12">
        <v>21</v>
      </c>
      <c r="E12">
        <v>23</v>
      </c>
      <c r="F12">
        <v>24</v>
      </c>
      <c r="G12">
        <f t="shared" si="0"/>
        <v>92</v>
      </c>
      <c r="H12">
        <v>89</v>
      </c>
    </row>
    <row r="13" spans="2:8">
      <c r="B13" s="1">
        <v>46039</v>
      </c>
      <c r="C13">
        <v>25</v>
      </c>
      <c r="D13">
        <v>19</v>
      </c>
      <c r="E13">
        <v>20</v>
      </c>
      <c r="F13">
        <v>19</v>
      </c>
      <c r="G13">
        <f t="shared" si="0"/>
        <v>83</v>
      </c>
      <c r="H13">
        <v>90</v>
      </c>
    </row>
    <row r="14" spans="2:8">
      <c r="B14" s="1">
        <v>46081</v>
      </c>
      <c r="G14">
        <f t="shared" si="0"/>
        <v>0</v>
      </c>
    </row>
    <row r="15" spans="2:8">
      <c r="G15">
        <f t="shared" si="0"/>
        <v>0</v>
      </c>
    </row>
    <row r="16" spans="2:8">
      <c r="G16">
        <f t="shared" si="0"/>
        <v>0</v>
      </c>
    </row>
    <row r="17" spans="2:8">
      <c r="B17" t="s">
        <v>9</v>
      </c>
      <c r="C17" s="2">
        <f>MAX(C3:C13)</f>
        <v>25</v>
      </c>
      <c r="D17" s="2">
        <f>MAX(D3:D13)</f>
        <v>21</v>
      </c>
      <c r="E17" s="2">
        <f>MAX(E3:E13)</f>
        <v>23</v>
      </c>
      <c r="F17" s="2">
        <f>MAX(F3:F13)</f>
        <v>24</v>
      </c>
      <c r="G17">
        <f t="shared" si="0"/>
        <v>93</v>
      </c>
      <c r="H17" s="2">
        <v>89</v>
      </c>
    </row>
    <row r="18" spans="2:8">
      <c r="B18" t="s">
        <v>7</v>
      </c>
      <c r="C18" s="3">
        <v>23</v>
      </c>
      <c r="D18" s="3">
        <v>22</v>
      </c>
      <c r="E18" s="3">
        <v>24</v>
      </c>
      <c r="F18" s="3">
        <v>24</v>
      </c>
      <c r="G18" s="3">
        <f t="shared" si="0"/>
        <v>93</v>
      </c>
      <c r="H18" s="3">
        <v>93</v>
      </c>
    </row>
    <row r="19" spans="2:8">
      <c r="B19" t="s">
        <v>8</v>
      </c>
      <c r="C19" s="5">
        <v>0</v>
      </c>
      <c r="D19" s="5">
        <v>0</v>
      </c>
      <c r="E19" s="5">
        <f t="shared" ref="E19:F19" si="1">E18-E17</f>
        <v>1</v>
      </c>
      <c r="F19" s="5">
        <f t="shared" si="1"/>
        <v>0</v>
      </c>
      <c r="G19" s="5">
        <f t="shared" si="0"/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森岡慧</dc:creator>
  <cp:lastModifiedBy>KYOKA AKITA</cp:lastModifiedBy>
  <dcterms:created xsi:type="dcterms:W3CDTF">2015-06-05T18:19:34Z</dcterms:created>
  <dcterms:modified xsi:type="dcterms:W3CDTF">2026-02-27T11:18:02Z</dcterms:modified>
</cp:coreProperties>
</file>